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eapad GAMING\Documents\UNIVERSITY DOCUMENTS\Third year\1st\Highway Engineering\"/>
    </mc:Choice>
  </mc:AlternateContent>
  <xr:revisionPtr revIDLastSave="0" documentId="13_ncr:1_{403C27F5-FBE4-4E75-9847-9CB32FB54FA6}" xr6:coauthVersionLast="47" xr6:coauthVersionMax="47" xr10:uidLastSave="{00000000-0000-0000-0000-000000000000}"/>
  <bookViews>
    <workbookView xWindow="-5388" yWindow="3096" windowWidth="11544" windowHeight="6192" xr2:uid="{737AD2B8-CA17-4E42-A2B5-B143DF573D8B}"/>
  </bookViews>
  <sheets>
    <sheet name="Sheet1" sheetId="1" r:id="rId1"/>
  </sheets>
  <definedNames>
    <definedName name="_Hlk91043174" localSheetId="0">Sheet1!$H$24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O15" i="1" s="1"/>
  <c r="N16" i="1"/>
  <c r="O16" i="1" s="1"/>
  <c r="N17" i="1"/>
  <c r="O17" i="1" s="1"/>
  <c r="N18" i="1"/>
  <c r="O18" i="1" s="1"/>
  <c r="N19" i="1"/>
  <c r="N20" i="1"/>
  <c r="O20" i="1" s="1"/>
  <c r="N21" i="1"/>
  <c r="N22" i="1"/>
  <c r="N23" i="1"/>
  <c r="N24" i="1"/>
  <c r="N25" i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N38" i="1"/>
  <c r="N39" i="1"/>
  <c r="N40" i="1"/>
  <c r="N41" i="1"/>
  <c r="N42" i="1"/>
  <c r="N43" i="1"/>
  <c r="N44" i="1"/>
  <c r="N45" i="1"/>
  <c r="N46" i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N54" i="1"/>
  <c r="N55" i="1"/>
  <c r="N56" i="1"/>
  <c r="N57" i="1"/>
  <c r="N4" i="1"/>
  <c r="O53" i="1"/>
  <c r="O11" i="1"/>
  <c r="O13" i="1"/>
  <c r="O19" i="1"/>
  <c r="O42" i="1"/>
  <c r="O43" i="1"/>
  <c r="O44" i="1"/>
  <c r="O45" i="1"/>
  <c r="O46" i="1"/>
  <c r="J53" i="1"/>
  <c r="L53" i="1" s="1"/>
  <c r="J47" i="1"/>
  <c r="L47" i="1" s="1"/>
  <c r="M70" i="1"/>
  <c r="M71" i="1"/>
  <c r="M72" i="1"/>
  <c r="M73" i="1"/>
  <c r="M74" i="1"/>
  <c r="M75" i="1"/>
  <c r="M76" i="1"/>
  <c r="M77" i="1"/>
  <c r="M78" i="1"/>
  <c r="M79" i="1"/>
  <c r="O23" i="1"/>
  <c r="O54" i="1"/>
  <c r="O55" i="1"/>
  <c r="O56" i="1"/>
  <c r="O57" i="1"/>
  <c r="O41" i="1"/>
  <c r="O6" i="1"/>
  <c r="O7" i="1"/>
  <c r="O8" i="1"/>
  <c r="O9" i="1"/>
  <c r="O10" i="1"/>
  <c r="O12" i="1"/>
  <c r="O14" i="1"/>
  <c r="O21" i="1"/>
  <c r="O22" i="1"/>
  <c r="O24" i="1"/>
  <c r="O25" i="1"/>
  <c r="O37" i="1"/>
  <c r="O38" i="1"/>
  <c r="O39" i="1"/>
  <c r="O40" i="1"/>
  <c r="O4" i="1"/>
  <c r="J26" i="1"/>
  <c r="L26" i="1" s="1"/>
  <c r="J27" i="1"/>
  <c r="L27" i="1" s="1"/>
  <c r="J21" i="1"/>
  <c r="L21" i="1" s="1"/>
  <c r="J14" i="1"/>
  <c r="L14" i="1" s="1"/>
  <c r="J12" i="1"/>
  <c r="L12" i="1" s="1"/>
  <c r="L69" i="1"/>
  <c r="J69" i="1"/>
  <c r="K69" i="1" s="1"/>
  <c r="I71" i="1"/>
  <c r="J71" i="1" s="1"/>
  <c r="K71" i="1" s="1"/>
  <c r="I72" i="1"/>
  <c r="J72" i="1" s="1"/>
  <c r="K72" i="1" s="1"/>
  <c r="I73" i="1"/>
  <c r="J73" i="1" s="1"/>
  <c r="K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70" i="1"/>
  <c r="J70" i="1" s="1"/>
  <c r="K70" i="1" s="1"/>
  <c r="O5" i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3" i="1"/>
  <c r="L13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2" i="1"/>
  <c r="L22" i="1" s="1"/>
  <c r="J23" i="1"/>
  <c r="L23" i="1" s="1"/>
  <c r="J24" i="1"/>
  <c r="L24" i="1" s="1"/>
  <c r="J25" i="1"/>
  <c r="L25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8" i="1"/>
  <c r="L48" i="1" s="1"/>
  <c r="J49" i="1"/>
  <c r="L49" i="1" s="1"/>
  <c r="J50" i="1"/>
  <c r="L50" i="1" s="1"/>
  <c r="J51" i="1"/>
  <c r="L51" i="1" s="1"/>
  <c r="J52" i="1"/>
  <c r="L52" i="1" s="1"/>
  <c r="J54" i="1"/>
  <c r="L54" i="1" s="1"/>
  <c r="J55" i="1"/>
  <c r="L55" i="1" s="1"/>
  <c r="J56" i="1"/>
  <c r="L56" i="1" s="1"/>
  <c r="J57" i="1"/>
  <c r="L57" i="1" s="1"/>
  <c r="J4" i="1"/>
  <c r="L4" i="1" s="1"/>
  <c r="J79" i="1" l="1"/>
  <c r="J78" i="1"/>
  <c r="K78" i="1" s="1"/>
  <c r="J77" i="1"/>
  <c r="K77" i="1" s="1"/>
  <c r="J76" i="1"/>
  <c r="K76" i="1" s="1"/>
  <c r="J75" i="1"/>
  <c r="K75" i="1" s="1"/>
  <c r="J74" i="1"/>
  <c r="K74" i="1" s="1"/>
  <c r="L73" i="1"/>
  <c r="L72" i="1"/>
  <c r="L71" i="1"/>
  <c r="L70" i="1"/>
  <c r="M69" i="1"/>
  <c r="K79" i="1" l="1"/>
</calcChain>
</file>

<file path=xl/sharedStrings.xml><?xml version="1.0" encoding="utf-8"?>
<sst xmlns="http://schemas.openxmlformats.org/spreadsheetml/2006/main" count="49" uniqueCount="46">
  <si>
    <t>cross section names</t>
  </si>
  <si>
    <t>distance from the start</t>
  </si>
  <si>
    <t>real elevation</t>
  </si>
  <si>
    <t>reference elevation</t>
  </si>
  <si>
    <t>profile elevation</t>
  </si>
  <si>
    <t>km</t>
  </si>
  <si>
    <t>on Autocad</t>
  </si>
  <si>
    <t>A</t>
  </si>
  <si>
    <t>TB1</t>
  </si>
  <si>
    <t>B1</t>
  </si>
  <si>
    <t>H1</t>
  </si>
  <si>
    <t>TF1</t>
  </si>
  <si>
    <t>TB2</t>
  </si>
  <si>
    <t>B2</t>
  </si>
  <si>
    <t>TF2</t>
  </si>
  <si>
    <t>H3</t>
  </si>
  <si>
    <t>TB3</t>
  </si>
  <si>
    <t>H4</t>
  </si>
  <si>
    <t>B3</t>
  </si>
  <si>
    <t>TF3</t>
  </si>
  <si>
    <t>H5</t>
  </si>
  <si>
    <t>H6</t>
  </si>
  <si>
    <t>C</t>
  </si>
  <si>
    <t>l</t>
  </si>
  <si>
    <t>red elevation</t>
  </si>
  <si>
    <t>diff</t>
  </si>
  <si>
    <t>TS</t>
  </si>
  <si>
    <t>SC</t>
  </si>
  <si>
    <t>K1</t>
  </si>
  <si>
    <t>M1</t>
  </si>
  <si>
    <t>CS</t>
  </si>
  <si>
    <t>ST</t>
  </si>
  <si>
    <t>M2</t>
  </si>
  <si>
    <t>K2</t>
  </si>
  <si>
    <t>T1</t>
  </si>
  <si>
    <t>DN</t>
  </si>
  <si>
    <t>Enkesit No</t>
  </si>
  <si>
    <t>Km</t>
  </si>
  <si>
    <t>x (m)</t>
  </si>
  <si>
    <r>
      <t>r =g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>.x</t>
    </r>
  </si>
  <si>
    <t>y = K × x²</t>
  </si>
  <si>
    <r>
      <t>T</t>
    </r>
    <r>
      <rPr>
        <b/>
        <vertAlign val="subscript"/>
        <sz val="12"/>
        <color theme="1"/>
        <rFont val="Times New Roman"/>
        <family val="1"/>
      </rPr>
      <t>1</t>
    </r>
  </si>
  <si>
    <r>
      <t>T</t>
    </r>
    <r>
      <rPr>
        <b/>
        <vertAlign val="subscript"/>
        <sz val="12"/>
        <color theme="1"/>
        <rFont val="Times New Roman"/>
        <family val="1"/>
      </rPr>
      <t>2</t>
    </r>
  </si>
  <si>
    <t>L</t>
  </si>
  <si>
    <r>
      <t>T</t>
    </r>
    <r>
      <rPr>
        <b/>
        <vertAlign val="subscript"/>
        <sz val="12"/>
        <color theme="1"/>
        <rFont val="Times New Roman"/>
        <family val="1"/>
      </rPr>
      <t>1kot  -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 xml:space="preserve"> r</t>
    </r>
  </si>
  <si>
    <r>
      <t>T</t>
    </r>
    <r>
      <rPr>
        <b/>
        <vertAlign val="subscript"/>
        <sz val="12"/>
        <color theme="1"/>
        <rFont val="Times New Roman"/>
        <family val="1"/>
      </rPr>
      <t>1kot -</t>
    </r>
    <r>
      <rPr>
        <b/>
        <sz val="12"/>
        <color theme="1"/>
        <rFont val="Times New Roman"/>
        <family val="1"/>
      </rPr>
      <t xml:space="preserve"> r +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</si>
</sst>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1" formatCode="0\+###.##"/>
    <numFmt numFmtId="174" formatCode="0.000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NewSymbolFont"/>
      <charset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2" borderId="0" xfId="0" applyNumberFormat="1" applyFill="1"/>
    <xf numFmtId="2" fontId="2" fillId="0" borderId="0" xfId="0" applyNumberFormat="1" applyFont="1"/>
    <xf numFmtId="2" fontId="3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/>
    <xf numFmtId="0" fontId="9" fillId="0" borderId="4" xfId="0" applyFont="1" applyBorder="1" applyAlignment="1">
      <alignment horizontal="center" vertical="center" wrapText="1"/>
    </xf>
    <xf numFmtId="171" fontId="2" fillId="3" borderId="0" xfId="0" applyNumberFormat="1" applyFont="1" applyFill="1"/>
    <xf numFmtId="0" fontId="10" fillId="0" borderId="0" xfId="0" applyFont="1"/>
    <xf numFmtId="43" fontId="0" fillId="0" borderId="0" xfId="1" applyFont="1"/>
    <xf numFmtId="174" fontId="7" fillId="0" borderId="5" xfId="0" applyNumberFormat="1" applyFont="1" applyBorder="1" applyAlignment="1">
      <alignment horizontal="center" vertical="center" wrapText="1"/>
    </xf>
    <xf numFmtId="174" fontId="8" fillId="0" borderId="5" xfId="0" applyNumberFormat="1" applyFont="1" applyBorder="1" applyAlignment="1">
      <alignment horizontal="center" vertical="center" wrapText="1"/>
    </xf>
    <xf numFmtId="174" fontId="8" fillId="0" borderId="6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BDB4-87A2-4A25-BB68-CD2A7441873E}">
  <dimension ref="C1:O80"/>
  <sheetViews>
    <sheetView tabSelected="1" topLeftCell="I28" zoomScale="85" zoomScaleNormal="85" workbookViewId="0">
      <selection activeCell="O4" sqref="O4:O57"/>
    </sheetView>
  </sheetViews>
  <sheetFormatPr defaultRowHeight="14.4" x14ac:dyDescent="0.3"/>
  <cols>
    <col min="5" max="5" width="17.21875" bestFit="1" customWidth="1"/>
    <col min="6" max="6" width="14" customWidth="1"/>
    <col min="7" max="7" width="16.5546875" customWidth="1"/>
    <col min="8" max="8" width="16.88671875" customWidth="1"/>
    <col min="9" max="9" width="13.77734375" customWidth="1"/>
    <col min="10" max="10" width="15" customWidth="1"/>
    <col min="11" max="11" width="16.88671875" customWidth="1"/>
    <col min="12" max="12" width="16.77734375" customWidth="1"/>
    <col min="13" max="13" width="15.44140625" customWidth="1"/>
    <col min="14" max="14" width="18.109375" bestFit="1" customWidth="1"/>
  </cols>
  <sheetData>
    <row r="1" spans="3:15" x14ac:dyDescent="0.3">
      <c r="G1" t="s">
        <v>23</v>
      </c>
      <c r="H1" t="s">
        <v>43</v>
      </c>
    </row>
    <row r="3" spans="3:15" ht="21" x14ac:dyDescent="0.4">
      <c r="C3" s="2"/>
      <c r="F3" s="2" t="s">
        <v>0</v>
      </c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  <c r="L3" s="2" t="s">
        <v>6</v>
      </c>
      <c r="M3">
        <v>10</v>
      </c>
      <c r="N3" s="2" t="s">
        <v>24</v>
      </c>
      <c r="O3" s="2" t="s">
        <v>25</v>
      </c>
    </row>
    <row r="4" spans="3:15" ht="15.6" x14ac:dyDescent="0.3">
      <c r="C4" s="1"/>
      <c r="F4" s="1" t="s">
        <v>7</v>
      </c>
      <c r="G4" s="12">
        <v>0</v>
      </c>
      <c r="H4">
        <v>730.11</v>
      </c>
      <c r="I4">
        <v>700</v>
      </c>
      <c r="J4">
        <f>H4-I4</f>
        <v>30.110000000000014</v>
      </c>
      <c r="K4">
        <v>0</v>
      </c>
      <c r="L4" s="3">
        <f>$M$3*J4</f>
        <v>301.10000000000014</v>
      </c>
      <c r="N4" s="5">
        <f>730.11-(G4*0.03275520398)</f>
        <v>730.11</v>
      </c>
      <c r="O4" s="4">
        <f>H4-N4</f>
        <v>0</v>
      </c>
    </row>
    <row r="5" spans="3:15" ht="15.6" x14ac:dyDescent="0.3">
      <c r="C5" s="1"/>
      <c r="F5" s="1" t="s">
        <v>28</v>
      </c>
      <c r="G5" s="12">
        <v>6.2</v>
      </c>
      <c r="H5">
        <v>730.45</v>
      </c>
      <c r="I5">
        <v>700</v>
      </c>
      <c r="J5">
        <f t="shared" ref="J5:J57" si="0">H5-I5</f>
        <v>30.450000000000045</v>
      </c>
      <c r="K5">
        <v>16.350000000000001</v>
      </c>
      <c r="L5" s="3">
        <f t="shared" ref="L5:L57" si="1">$M$3*J5</f>
        <v>304.50000000000045</v>
      </c>
      <c r="N5" s="5">
        <f t="shared" ref="N5:N57" si="2">730.11-(G5*0.03275520398)</f>
        <v>729.90691773532399</v>
      </c>
      <c r="O5" s="4">
        <f t="shared" ref="O5:O57" si="3">H5-N5</f>
        <v>0.54308226467605891</v>
      </c>
    </row>
    <row r="6" spans="3:15" ht="15.6" x14ac:dyDescent="0.3">
      <c r="C6" s="1"/>
      <c r="F6" s="1" t="s">
        <v>29</v>
      </c>
      <c r="G6" s="12">
        <v>19.59</v>
      </c>
      <c r="H6">
        <v>730.37</v>
      </c>
      <c r="I6">
        <v>700</v>
      </c>
      <c r="J6">
        <f t="shared" si="0"/>
        <v>30.370000000000005</v>
      </c>
      <c r="K6">
        <v>33.71</v>
      </c>
      <c r="L6" s="3">
        <f t="shared" si="1"/>
        <v>303.70000000000005</v>
      </c>
      <c r="N6" s="5">
        <f t="shared" si="2"/>
        <v>729.46832555403182</v>
      </c>
      <c r="O6" s="4">
        <f t="shared" si="3"/>
        <v>0.90167444596818314</v>
      </c>
    </row>
    <row r="7" spans="3:15" ht="15.6" x14ac:dyDescent="0.3">
      <c r="C7" s="1"/>
      <c r="F7" s="1" t="s">
        <v>26</v>
      </c>
      <c r="G7" s="12">
        <v>32.979999999999997</v>
      </c>
      <c r="H7">
        <v>730.05</v>
      </c>
      <c r="I7">
        <v>700</v>
      </c>
      <c r="J7">
        <f t="shared" si="0"/>
        <v>30.049999999999955</v>
      </c>
      <c r="K7">
        <v>57.48</v>
      </c>
      <c r="L7" s="3">
        <f t="shared" si="1"/>
        <v>300.49999999999955</v>
      </c>
      <c r="N7" s="5">
        <f t="shared" si="2"/>
        <v>729.02973337273966</v>
      </c>
      <c r="O7" s="4">
        <f t="shared" si="3"/>
        <v>1.0202666272602983</v>
      </c>
    </row>
    <row r="8" spans="3:15" ht="15.6" x14ac:dyDescent="0.3">
      <c r="C8" s="1"/>
      <c r="F8" s="1">
        <v>1</v>
      </c>
      <c r="G8" s="12">
        <v>45.23</v>
      </c>
      <c r="H8">
        <v>728.82</v>
      </c>
      <c r="I8">
        <v>700</v>
      </c>
      <c r="J8">
        <f t="shared" si="0"/>
        <v>28.82000000000005</v>
      </c>
      <c r="K8">
        <v>69.760000000000005</v>
      </c>
      <c r="L8" s="3">
        <f t="shared" si="1"/>
        <v>288.2000000000005</v>
      </c>
      <c r="N8" s="5">
        <f t="shared" si="2"/>
        <v>728.62848212398467</v>
      </c>
      <c r="O8" s="4">
        <f t="shared" si="3"/>
        <v>0.19151787601538217</v>
      </c>
    </row>
    <row r="9" spans="3:15" ht="15.6" x14ac:dyDescent="0.3">
      <c r="C9" s="1"/>
      <c r="F9" s="1" t="s">
        <v>8</v>
      </c>
      <c r="G9" s="12">
        <v>57.48</v>
      </c>
      <c r="H9">
        <v>727.57</v>
      </c>
      <c r="I9">
        <v>700</v>
      </c>
      <c r="J9">
        <f t="shared" si="0"/>
        <v>27.57000000000005</v>
      </c>
      <c r="K9">
        <v>88.39</v>
      </c>
      <c r="L9" s="3">
        <f t="shared" si="1"/>
        <v>275.7000000000005</v>
      </c>
      <c r="N9" s="5">
        <f t="shared" si="2"/>
        <v>728.22723087522957</v>
      </c>
      <c r="O9" s="4">
        <f t="shared" si="3"/>
        <v>-0.65723087522951573</v>
      </c>
    </row>
    <row r="10" spans="3:15" ht="15.6" x14ac:dyDescent="0.3">
      <c r="C10" s="1"/>
      <c r="F10" s="1">
        <v>2</v>
      </c>
      <c r="G10" s="12">
        <v>69.760000000000005</v>
      </c>
      <c r="H10">
        <v>726</v>
      </c>
      <c r="I10">
        <v>700</v>
      </c>
      <c r="J10">
        <f t="shared" si="0"/>
        <v>26</v>
      </c>
      <c r="K10">
        <v>100</v>
      </c>
      <c r="L10" s="3">
        <f t="shared" si="1"/>
        <v>260</v>
      </c>
      <c r="N10" s="5">
        <f t="shared" si="2"/>
        <v>727.82499697035519</v>
      </c>
      <c r="O10" s="4">
        <f t="shared" si="3"/>
        <v>-1.8249969703551869</v>
      </c>
    </row>
    <row r="11" spans="3:15" ht="15.6" x14ac:dyDescent="0.3">
      <c r="C11" s="1"/>
      <c r="F11" s="1" t="s">
        <v>27</v>
      </c>
      <c r="G11" s="12">
        <v>81.98</v>
      </c>
      <c r="H11">
        <v>724.99</v>
      </c>
      <c r="I11">
        <v>700</v>
      </c>
      <c r="J11">
        <f t="shared" si="0"/>
        <v>24.990000000000009</v>
      </c>
      <c r="K11">
        <v>111.22</v>
      </c>
      <c r="L11" s="3">
        <f t="shared" si="1"/>
        <v>249.90000000000009</v>
      </c>
      <c r="N11" s="5">
        <f t="shared" si="2"/>
        <v>727.42472837771959</v>
      </c>
      <c r="O11" s="4">
        <f t="shared" si="3"/>
        <v>-2.4347283777195798</v>
      </c>
    </row>
    <row r="12" spans="3:15" ht="15.6" x14ac:dyDescent="0.3">
      <c r="C12" s="1"/>
      <c r="F12" s="1" t="s">
        <v>9</v>
      </c>
      <c r="G12" s="12">
        <v>88.39</v>
      </c>
      <c r="H12" s="13">
        <v>724.68</v>
      </c>
      <c r="I12">
        <v>700</v>
      </c>
      <c r="J12">
        <f t="shared" si="0"/>
        <v>24.67999999999995</v>
      </c>
      <c r="L12" s="3">
        <f t="shared" si="1"/>
        <v>246.7999999999995</v>
      </c>
      <c r="N12" s="5">
        <f t="shared" si="2"/>
        <v>727.21476752020783</v>
      </c>
      <c r="O12" s="4">
        <f t="shared" si="3"/>
        <v>-2.534767520207879</v>
      </c>
    </row>
    <row r="13" spans="3:15" ht="15.6" x14ac:dyDescent="0.3">
      <c r="C13" s="1"/>
      <c r="F13" s="1" t="s">
        <v>30</v>
      </c>
      <c r="G13" s="12">
        <v>94.79</v>
      </c>
      <c r="H13">
        <v>724.48</v>
      </c>
      <c r="I13">
        <v>700</v>
      </c>
      <c r="J13">
        <f t="shared" si="0"/>
        <v>24.480000000000018</v>
      </c>
      <c r="K13">
        <v>119.29</v>
      </c>
      <c r="L13" s="3">
        <f t="shared" si="1"/>
        <v>244.80000000000018</v>
      </c>
      <c r="N13" s="5">
        <f t="shared" si="2"/>
        <v>727.00513421473579</v>
      </c>
      <c r="O13" s="4">
        <f t="shared" si="3"/>
        <v>-2.5251342147357718</v>
      </c>
    </row>
    <row r="14" spans="3:15" ht="15.6" x14ac:dyDescent="0.3">
      <c r="C14" s="1"/>
      <c r="F14" s="1" t="s">
        <v>10</v>
      </c>
      <c r="G14" s="12">
        <v>100</v>
      </c>
      <c r="H14" s="13">
        <v>724.34</v>
      </c>
      <c r="I14">
        <v>700</v>
      </c>
      <c r="J14">
        <f t="shared" si="0"/>
        <v>24.340000000000032</v>
      </c>
      <c r="L14" s="3">
        <f t="shared" si="1"/>
        <v>243.40000000000032</v>
      </c>
      <c r="N14" s="5">
        <f t="shared" si="2"/>
        <v>726.83447960199999</v>
      </c>
      <c r="O14" s="4">
        <f t="shared" si="3"/>
        <v>-2.4944796019999558</v>
      </c>
    </row>
    <row r="15" spans="3:15" ht="15.6" x14ac:dyDescent="0.3">
      <c r="C15" s="1"/>
      <c r="F15" s="1">
        <v>3</v>
      </c>
      <c r="G15" s="12">
        <v>111.22</v>
      </c>
      <c r="H15">
        <v>724</v>
      </c>
      <c r="I15">
        <v>700</v>
      </c>
      <c r="J15">
        <f t="shared" si="0"/>
        <v>24</v>
      </c>
      <c r="K15">
        <v>126.53</v>
      </c>
      <c r="L15" s="3">
        <f t="shared" si="1"/>
        <v>240</v>
      </c>
      <c r="N15" s="5">
        <f t="shared" si="2"/>
        <v>726.46696621334445</v>
      </c>
      <c r="O15" s="4">
        <f t="shared" si="3"/>
        <v>-2.466966213344449</v>
      </c>
    </row>
    <row r="16" spans="3:15" ht="15.6" x14ac:dyDescent="0.3">
      <c r="C16" s="1"/>
      <c r="F16" s="1" t="s">
        <v>11</v>
      </c>
      <c r="G16" s="12">
        <v>119.29</v>
      </c>
      <c r="H16" s="13">
        <v>723.82</v>
      </c>
      <c r="I16">
        <v>700</v>
      </c>
      <c r="J16">
        <f t="shared" si="0"/>
        <v>23.82000000000005</v>
      </c>
      <c r="K16">
        <v>142.18</v>
      </c>
      <c r="L16" s="3">
        <f t="shared" si="1"/>
        <v>238.2000000000005</v>
      </c>
      <c r="N16" s="5">
        <f t="shared" si="2"/>
        <v>726.20263171722581</v>
      </c>
      <c r="O16" s="4">
        <f t="shared" si="3"/>
        <v>-2.3826317172257632</v>
      </c>
    </row>
    <row r="17" spans="3:15" ht="15.6" x14ac:dyDescent="0.3">
      <c r="C17" s="1"/>
      <c r="F17" s="1">
        <v>4</v>
      </c>
      <c r="G17" s="12">
        <v>126.53</v>
      </c>
      <c r="H17">
        <v>724</v>
      </c>
      <c r="I17">
        <v>700</v>
      </c>
      <c r="J17">
        <f t="shared" si="0"/>
        <v>24</v>
      </c>
      <c r="K17">
        <v>158.82</v>
      </c>
      <c r="L17" s="3">
        <f t="shared" si="1"/>
        <v>240</v>
      </c>
      <c r="N17" s="5">
        <f t="shared" si="2"/>
        <v>725.96548404041062</v>
      </c>
      <c r="O17" s="4">
        <f t="shared" si="3"/>
        <v>-1.9654840404106153</v>
      </c>
    </row>
    <row r="18" spans="3:15" ht="15.6" x14ac:dyDescent="0.3">
      <c r="C18" s="1"/>
      <c r="F18" s="1" t="s">
        <v>31</v>
      </c>
      <c r="G18" s="12">
        <v>143.79</v>
      </c>
      <c r="H18">
        <v>724.42</v>
      </c>
      <c r="I18">
        <v>700</v>
      </c>
      <c r="J18">
        <f t="shared" si="0"/>
        <v>24.419999999999959</v>
      </c>
      <c r="K18">
        <v>179.76</v>
      </c>
      <c r="L18" s="3">
        <f t="shared" si="1"/>
        <v>244.19999999999959</v>
      </c>
      <c r="N18" s="5">
        <f t="shared" si="2"/>
        <v>725.40012921971584</v>
      </c>
      <c r="O18" s="4">
        <f t="shared" si="3"/>
        <v>-0.9801292197158773</v>
      </c>
    </row>
    <row r="19" spans="3:15" ht="15.6" x14ac:dyDescent="0.3">
      <c r="C19" s="1"/>
      <c r="F19" s="1" t="s">
        <v>32</v>
      </c>
      <c r="G19" s="12">
        <v>157.18</v>
      </c>
      <c r="H19">
        <v>724</v>
      </c>
      <c r="I19">
        <v>700</v>
      </c>
      <c r="J19">
        <f t="shared" si="0"/>
        <v>24</v>
      </c>
      <c r="K19">
        <v>200</v>
      </c>
      <c r="L19" s="3">
        <f t="shared" si="1"/>
        <v>240</v>
      </c>
      <c r="N19" s="5">
        <f t="shared" si="2"/>
        <v>724.96153703842356</v>
      </c>
      <c r="O19" s="4">
        <f t="shared" si="3"/>
        <v>-0.96153703842355753</v>
      </c>
    </row>
    <row r="20" spans="3:15" ht="15.6" x14ac:dyDescent="0.3">
      <c r="C20" s="1"/>
      <c r="F20" s="1" t="s">
        <v>33</v>
      </c>
      <c r="G20" s="12">
        <v>170.57</v>
      </c>
      <c r="H20">
        <v>723.64</v>
      </c>
      <c r="I20">
        <v>700</v>
      </c>
      <c r="J20">
        <f t="shared" si="0"/>
        <v>23.639999999999986</v>
      </c>
      <c r="K20">
        <v>203.37</v>
      </c>
      <c r="L20" s="3">
        <f t="shared" si="1"/>
        <v>236.39999999999986</v>
      </c>
      <c r="N20" s="5">
        <f t="shared" si="2"/>
        <v>724.52294485713139</v>
      </c>
      <c r="O20" s="4">
        <f t="shared" si="3"/>
        <v>-0.88294485713140602</v>
      </c>
    </row>
    <row r="21" spans="3:15" ht="15.6" x14ac:dyDescent="0.3">
      <c r="C21" s="1"/>
      <c r="F21" s="1">
        <v>5</v>
      </c>
      <c r="G21" s="12">
        <v>179.76</v>
      </c>
      <c r="H21" s="13">
        <v>723.46</v>
      </c>
      <c r="I21">
        <v>700</v>
      </c>
      <c r="J21">
        <f t="shared" si="0"/>
        <v>23.460000000000036</v>
      </c>
      <c r="L21" s="3">
        <f t="shared" si="1"/>
        <v>234.60000000000036</v>
      </c>
      <c r="N21" s="5">
        <f t="shared" si="2"/>
        <v>724.22192453255525</v>
      </c>
      <c r="O21" s="4">
        <f t="shared" si="3"/>
        <v>-0.76192453255521286</v>
      </c>
    </row>
    <row r="22" spans="3:15" ht="15.6" x14ac:dyDescent="0.3">
      <c r="C22" s="1"/>
      <c r="F22" s="1" t="s">
        <v>12</v>
      </c>
      <c r="G22" s="12">
        <v>203.37</v>
      </c>
      <c r="H22">
        <v>723.51</v>
      </c>
      <c r="I22">
        <v>700</v>
      </c>
      <c r="J22">
        <f t="shared" si="0"/>
        <v>23.509999999999991</v>
      </c>
      <c r="K22">
        <v>237.93</v>
      </c>
      <c r="L22" s="3">
        <f t="shared" si="1"/>
        <v>235.09999999999991</v>
      </c>
      <c r="N22" s="5">
        <f t="shared" si="2"/>
        <v>723.44857416658738</v>
      </c>
      <c r="O22" s="4">
        <f t="shared" si="3"/>
        <v>6.1425833412613429E-2</v>
      </c>
    </row>
    <row r="23" spans="3:15" ht="15.6" x14ac:dyDescent="0.3">
      <c r="C23" s="1"/>
      <c r="F23" s="1">
        <v>6</v>
      </c>
      <c r="G23" s="12">
        <v>221.23</v>
      </c>
      <c r="H23" s="13">
        <v>723.77</v>
      </c>
      <c r="I23">
        <v>700</v>
      </c>
      <c r="J23">
        <f t="shared" si="0"/>
        <v>23.769999999999982</v>
      </c>
      <c r="K23">
        <v>243.21</v>
      </c>
      <c r="L23" s="3">
        <f t="shared" si="1"/>
        <v>237.69999999999982</v>
      </c>
      <c r="N23" s="5">
        <f t="shared" si="2"/>
        <v>722.86356622350456</v>
      </c>
      <c r="O23" s="4">
        <f t="shared" si="3"/>
        <v>0.9064337764954189</v>
      </c>
    </row>
    <row r="24" spans="3:15" ht="15.6" x14ac:dyDescent="0.3">
      <c r="C24" s="1"/>
      <c r="F24" s="1" t="s">
        <v>13</v>
      </c>
      <c r="G24" s="12">
        <v>237.93</v>
      </c>
      <c r="H24" s="13">
        <v>722.45</v>
      </c>
      <c r="I24">
        <v>700</v>
      </c>
      <c r="J24">
        <f t="shared" si="0"/>
        <v>22.450000000000045</v>
      </c>
      <c r="K24">
        <v>254.25</v>
      </c>
      <c r="L24" s="3">
        <f t="shared" si="1"/>
        <v>224.50000000000045</v>
      </c>
      <c r="N24" s="5">
        <f t="shared" si="2"/>
        <v>722.31655431703859</v>
      </c>
      <c r="O24" s="4">
        <f t="shared" si="3"/>
        <v>0.13344568296145098</v>
      </c>
    </row>
    <row r="25" spans="3:15" ht="15.6" x14ac:dyDescent="0.3">
      <c r="C25" s="1"/>
      <c r="F25" s="1">
        <v>7</v>
      </c>
      <c r="G25" s="12">
        <v>243.21</v>
      </c>
      <c r="H25" s="13">
        <v>722</v>
      </c>
      <c r="I25">
        <v>700</v>
      </c>
      <c r="J25">
        <f t="shared" si="0"/>
        <v>22</v>
      </c>
      <c r="K25">
        <v>265.29000000000002</v>
      </c>
      <c r="L25" s="3">
        <f t="shared" si="1"/>
        <v>220</v>
      </c>
      <c r="N25" s="5">
        <f t="shared" si="2"/>
        <v>722.14360684002418</v>
      </c>
      <c r="O25" s="4">
        <f t="shared" si="3"/>
        <v>-0.14360684002417656</v>
      </c>
    </row>
    <row r="26" spans="3:15" ht="15.6" x14ac:dyDescent="0.3">
      <c r="C26" s="1"/>
      <c r="F26" s="1">
        <v>8</v>
      </c>
      <c r="G26" s="12">
        <v>254.25</v>
      </c>
      <c r="H26" s="13">
        <v>721.39</v>
      </c>
      <c r="I26">
        <v>700</v>
      </c>
      <c r="J26">
        <f t="shared" si="0"/>
        <v>21.389999999999986</v>
      </c>
      <c r="L26" s="3">
        <f t="shared" si="1"/>
        <v>213.89999999999986</v>
      </c>
      <c r="N26" s="5">
        <f t="shared" si="2"/>
        <v>721.78198938808498</v>
      </c>
      <c r="O26" s="4">
        <f t="shared" si="3"/>
        <v>-0.39198938808499406</v>
      </c>
    </row>
    <row r="27" spans="3:15" ht="15.6" x14ac:dyDescent="0.3">
      <c r="C27" s="1"/>
      <c r="F27" s="1">
        <v>9</v>
      </c>
      <c r="G27" s="12">
        <v>265.29000000000002</v>
      </c>
      <c r="H27" s="13">
        <v>720</v>
      </c>
      <c r="I27">
        <v>700</v>
      </c>
      <c r="J27">
        <f t="shared" si="0"/>
        <v>20</v>
      </c>
      <c r="L27" s="3">
        <f t="shared" si="1"/>
        <v>200</v>
      </c>
      <c r="N27" s="5">
        <f t="shared" si="2"/>
        <v>721.42037193614578</v>
      </c>
      <c r="O27" s="4">
        <f t="shared" si="3"/>
        <v>-1.4203719361457843</v>
      </c>
    </row>
    <row r="28" spans="3:15" ht="15.6" x14ac:dyDescent="0.3">
      <c r="C28" s="1"/>
      <c r="F28" s="1" t="s">
        <v>14</v>
      </c>
      <c r="G28" s="12">
        <v>272.5</v>
      </c>
      <c r="H28">
        <v>718.91</v>
      </c>
      <c r="I28">
        <v>700</v>
      </c>
      <c r="J28">
        <f t="shared" si="0"/>
        <v>18.909999999999968</v>
      </c>
      <c r="K28">
        <v>272.5</v>
      </c>
      <c r="L28" s="3">
        <f t="shared" si="1"/>
        <v>189.09999999999968</v>
      </c>
      <c r="N28" s="5">
        <f t="shared" si="2"/>
        <v>721.18420691544998</v>
      </c>
      <c r="O28" s="4">
        <f t="shared" si="3"/>
        <v>-2.2742069154500086</v>
      </c>
    </row>
    <row r="29" spans="3:15" ht="15.6" x14ac:dyDescent="0.3">
      <c r="C29" s="1"/>
      <c r="F29" s="1">
        <v>10</v>
      </c>
      <c r="G29" s="12">
        <v>279.02999999999997</v>
      </c>
      <c r="H29">
        <v>718</v>
      </c>
      <c r="I29">
        <v>700</v>
      </c>
      <c r="J29">
        <f t="shared" si="0"/>
        <v>18</v>
      </c>
      <c r="K29">
        <v>279.02999999999997</v>
      </c>
      <c r="L29" s="3">
        <f t="shared" si="1"/>
        <v>180</v>
      </c>
      <c r="N29" s="5">
        <f t="shared" si="2"/>
        <v>720.97031543346066</v>
      </c>
      <c r="O29" s="4">
        <f t="shared" si="3"/>
        <v>-2.9703154334606552</v>
      </c>
    </row>
    <row r="30" spans="3:15" ht="15.6" x14ac:dyDescent="0.3">
      <c r="C30" s="1"/>
      <c r="F30" s="1">
        <v>11</v>
      </c>
      <c r="G30" s="12">
        <v>291.76</v>
      </c>
      <c r="H30">
        <v>716</v>
      </c>
      <c r="I30">
        <v>700</v>
      </c>
      <c r="J30">
        <f t="shared" si="0"/>
        <v>16</v>
      </c>
      <c r="K30">
        <v>291.76</v>
      </c>
      <c r="L30" s="3">
        <f t="shared" si="1"/>
        <v>160</v>
      </c>
      <c r="N30" s="5">
        <f t="shared" si="2"/>
        <v>720.55334168679519</v>
      </c>
      <c r="O30" s="4">
        <f t="shared" si="3"/>
        <v>-4.5533416867951928</v>
      </c>
    </row>
    <row r="31" spans="3:15" ht="15.6" x14ac:dyDescent="0.3">
      <c r="C31" s="1"/>
      <c r="F31" s="1" t="s">
        <v>15</v>
      </c>
      <c r="G31" s="12">
        <v>300</v>
      </c>
      <c r="H31">
        <v>714.76</v>
      </c>
      <c r="I31">
        <v>700</v>
      </c>
      <c r="J31">
        <f t="shared" si="0"/>
        <v>14.759999999999991</v>
      </c>
      <c r="K31">
        <v>300</v>
      </c>
      <c r="L31" s="3">
        <f t="shared" si="1"/>
        <v>147.59999999999991</v>
      </c>
      <c r="N31" s="5">
        <f t="shared" si="2"/>
        <v>720.28343880600005</v>
      </c>
      <c r="O31" s="4">
        <f t="shared" si="3"/>
        <v>-5.5234388060000583</v>
      </c>
    </row>
    <row r="32" spans="3:15" ht="15.6" x14ac:dyDescent="0.3">
      <c r="C32" s="1"/>
      <c r="F32" s="1">
        <v>12</v>
      </c>
      <c r="G32" s="12">
        <v>324.77</v>
      </c>
      <c r="H32">
        <v>712</v>
      </c>
      <c r="I32">
        <v>700</v>
      </c>
      <c r="J32">
        <f t="shared" si="0"/>
        <v>12</v>
      </c>
      <c r="K32">
        <v>324.77</v>
      </c>
      <c r="L32" s="3">
        <f t="shared" si="1"/>
        <v>120</v>
      </c>
      <c r="N32" s="5">
        <f t="shared" si="2"/>
        <v>719.47209240341545</v>
      </c>
      <c r="O32" s="4">
        <f t="shared" si="3"/>
        <v>-7.472092403415445</v>
      </c>
    </row>
    <row r="33" spans="3:15" ht="15.6" x14ac:dyDescent="0.3">
      <c r="C33" s="1"/>
      <c r="F33" s="1" t="s">
        <v>16</v>
      </c>
      <c r="G33" s="12">
        <v>339.89</v>
      </c>
      <c r="H33">
        <v>710.77</v>
      </c>
      <c r="I33">
        <v>700</v>
      </c>
      <c r="J33">
        <f t="shared" si="0"/>
        <v>10.769999999999982</v>
      </c>
      <c r="K33">
        <v>339.89</v>
      </c>
      <c r="L33" s="3">
        <f t="shared" si="1"/>
        <v>107.69999999999982</v>
      </c>
      <c r="N33" s="5">
        <f t="shared" si="2"/>
        <v>718.97683371923779</v>
      </c>
      <c r="O33" s="4">
        <f t="shared" si="3"/>
        <v>-8.2068337192378067</v>
      </c>
    </row>
    <row r="34" spans="3:15" ht="15.6" x14ac:dyDescent="0.3">
      <c r="C34" s="1"/>
      <c r="F34" s="1">
        <v>13</v>
      </c>
      <c r="G34" s="12">
        <v>355.68</v>
      </c>
      <c r="H34">
        <v>710.68</v>
      </c>
      <c r="I34">
        <v>700</v>
      </c>
      <c r="J34">
        <f t="shared" si="0"/>
        <v>10.67999999999995</v>
      </c>
      <c r="K34">
        <v>355.68</v>
      </c>
      <c r="L34" s="3">
        <f t="shared" si="1"/>
        <v>106.7999999999995</v>
      </c>
      <c r="N34" s="5">
        <f t="shared" si="2"/>
        <v>718.45962904839359</v>
      </c>
      <c r="O34" s="4">
        <f t="shared" si="3"/>
        <v>-7.7796290483936446</v>
      </c>
    </row>
    <row r="35" spans="3:15" ht="15.6" x14ac:dyDescent="0.3">
      <c r="C35" s="1"/>
      <c r="F35" s="1">
        <v>14</v>
      </c>
      <c r="G35" s="12">
        <v>369.83</v>
      </c>
      <c r="H35">
        <v>712</v>
      </c>
      <c r="I35">
        <v>700</v>
      </c>
      <c r="J35">
        <f t="shared" si="0"/>
        <v>12</v>
      </c>
      <c r="K35">
        <v>369.83</v>
      </c>
      <c r="L35" s="3">
        <f t="shared" si="1"/>
        <v>120</v>
      </c>
      <c r="N35" s="5">
        <f t="shared" si="2"/>
        <v>717.99614291207661</v>
      </c>
      <c r="O35" s="4">
        <f t="shared" si="3"/>
        <v>-5.996142912076607</v>
      </c>
    </row>
    <row r="36" spans="3:15" ht="15.6" x14ac:dyDescent="0.3">
      <c r="C36" s="1"/>
      <c r="F36" s="1">
        <v>15</v>
      </c>
      <c r="G36" s="12">
        <v>381.07</v>
      </c>
      <c r="H36">
        <v>714</v>
      </c>
      <c r="I36">
        <v>700</v>
      </c>
      <c r="J36">
        <f t="shared" si="0"/>
        <v>14</v>
      </c>
      <c r="K36">
        <v>381.07</v>
      </c>
      <c r="L36" s="3">
        <f t="shared" si="1"/>
        <v>140</v>
      </c>
      <c r="N36" s="5">
        <f t="shared" si="2"/>
        <v>717.6279744193414</v>
      </c>
      <c r="O36" s="4">
        <f t="shared" si="3"/>
        <v>-3.627974419341399</v>
      </c>
    </row>
    <row r="37" spans="3:15" ht="15.6" x14ac:dyDescent="0.3">
      <c r="C37" s="1"/>
      <c r="F37" s="1">
        <v>16</v>
      </c>
      <c r="G37" s="12">
        <v>386.71</v>
      </c>
      <c r="H37">
        <v>716</v>
      </c>
      <c r="I37">
        <v>700</v>
      </c>
      <c r="J37">
        <f t="shared" si="0"/>
        <v>16</v>
      </c>
      <c r="K37">
        <v>386.71</v>
      </c>
      <c r="L37" s="3">
        <f t="shared" si="1"/>
        <v>160</v>
      </c>
      <c r="N37" s="5">
        <f t="shared" si="2"/>
        <v>717.44323506889418</v>
      </c>
      <c r="O37" s="4">
        <f t="shared" si="3"/>
        <v>-1.4432350688941824</v>
      </c>
    </row>
    <row r="38" spans="3:15" ht="15.6" x14ac:dyDescent="0.3">
      <c r="C38" s="1"/>
      <c r="F38" s="1" t="s">
        <v>17</v>
      </c>
      <c r="G38" s="12">
        <v>400</v>
      </c>
      <c r="H38">
        <v>718.19</v>
      </c>
      <c r="I38">
        <v>700</v>
      </c>
      <c r="J38">
        <f t="shared" si="0"/>
        <v>18.190000000000055</v>
      </c>
      <c r="K38">
        <v>400</v>
      </c>
      <c r="L38" s="3">
        <f t="shared" si="1"/>
        <v>181.90000000000055</v>
      </c>
      <c r="N38" s="5">
        <f t="shared" si="2"/>
        <v>717.00791840800002</v>
      </c>
      <c r="O38" s="4">
        <f t="shared" si="3"/>
        <v>1.1820815920000314</v>
      </c>
    </row>
    <row r="39" spans="3:15" ht="15.6" x14ac:dyDescent="0.3">
      <c r="C39" s="1"/>
      <c r="F39" s="1">
        <v>17</v>
      </c>
      <c r="G39" s="12">
        <v>411.21</v>
      </c>
      <c r="H39">
        <v>720</v>
      </c>
      <c r="I39">
        <v>700</v>
      </c>
      <c r="J39">
        <f t="shared" si="0"/>
        <v>20</v>
      </c>
      <c r="K39">
        <v>411.21</v>
      </c>
      <c r="L39" s="3">
        <f t="shared" si="1"/>
        <v>200</v>
      </c>
      <c r="N39" s="5">
        <f t="shared" si="2"/>
        <v>716.64073257138421</v>
      </c>
      <c r="O39" s="4">
        <f t="shared" si="3"/>
        <v>3.3592674286157944</v>
      </c>
    </row>
    <row r="40" spans="3:15" ht="15.6" x14ac:dyDescent="0.3">
      <c r="C40" s="1"/>
      <c r="F40" s="1" t="s">
        <v>18</v>
      </c>
      <c r="G40" s="12">
        <v>416.4</v>
      </c>
      <c r="H40">
        <v>720.27</v>
      </c>
      <c r="I40">
        <v>700</v>
      </c>
      <c r="J40">
        <f t="shared" si="0"/>
        <v>20.269999999999982</v>
      </c>
      <c r="K40">
        <v>416.4</v>
      </c>
      <c r="L40" s="3">
        <f t="shared" si="1"/>
        <v>202.69999999999982</v>
      </c>
      <c r="N40" s="5">
        <f t="shared" si="2"/>
        <v>716.47073306272796</v>
      </c>
      <c r="O40" s="4">
        <f t="shared" si="3"/>
        <v>3.7992669372720229</v>
      </c>
    </row>
    <row r="41" spans="3:15" ht="15.6" x14ac:dyDescent="0.3">
      <c r="C41" s="1"/>
      <c r="E41" s="14"/>
      <c r="F41" s="1">
        <v>18</v>
      </c>
      <c r="G41" s="12">
        <v>425.87</v>
      </c>
      <c r="H41">
        <v>720</v>
      </c>
      <c r="I41">
        <v>700</v>
      </c>
      <c r="J41">
        <f t="shared" si="0"/>
        <v>20</v>
      </c>
      <c r="K41">
        <v>425.87</v>
      </c>
      <c r="L41" s="3">
        <f t="shared" si="1"/>
        <v>200</v>
      </c>
      <c r="N41" s="5">
        <f t="shared" si="2"/>
        <v>716.16054128103747</v>
      </c>
      <c r="O41" s="4">
        <f t="shared" si="3"/>
        <v>3.8394587189625327</v>
      </c>
    </row>
    <row r="42" spans="3:15" ht="15.6" x14ac:dyDescent="0.3">
      <c r="C42" s="1"/>
      <c r="E42" s="14"/>
      <c r="F42" s="1">
        <v>19</v>
      </c>
      <c r="G42" s="12">
        <v>436.54</v>
      </c>
      <c r="H42">
        <v>718</v>
      </c>
      <c r="I42">
        <v>700</v>
      </c>
      <c r="J42">
        <f t="shared" si="0"/>
        <v>18</v>
      </c>
      <c r="K42">
        <v>436.54</v>
      </c>
      <c r="L42" s="3">
        <f t="shared" si="1"/>
        <v>180</v>
      </c>
      <c r="N42" s="5">
        <f t="shared" si="2"/>
        <v>715.81104325457079</v>
      </c>
      <c r="O42" s="4">
        <f t="shared" si="3"/>
        <v>2.1889567454292091</v>
      </c>
    </row>
    <row r="43" spans="3:15" ht="15.6" x14ac:dyDescent="0.3">
      <c r="C43" s="1"/>
      <c r="E43" s="14"/>
      <c r="F43" s="1">
        <v>20</v>
      </c>
      <c r="G43" s="12">
        <v>447.18</v>
      </c>
      <c r="H43">
        <v>714</v>
      </c>
      <c r="I43">
        <v>700</v>
      </c>
      <c r="J43">
        <f t="shared" si="0"/>
        <v>14</v>
      </c>
      <c r="K43">
        <v>447.18</v>
      </c>
      <c r="L43" s="3">
        <f t="shared" si="1"/>
        <v>140</v>
      </c>
      <c r="N43" s="5">
        <f t="shared" si="2"/>
        <v>715.46252788422362</v>
      </c>
      <c r="O43" s="4">
        <f t="shared" si="3"/>
        <v>-1.4625278842236185</v>
      </c>
    </row>
    <row r="44" spans="3:15" ht="15.6" x14ac:dyDescent="0.3">
      <c r="C44" s="1"/>
      <c r="E44" s="14"/>
      <c r="F44" s="1">
        <v>21</v>
      </c>
      <c r="G44" s="12">
        <v>454.37</v>
      </c>
      <c r="H44">
        <v>712</v>
      </c>
      <c r="I44">
        <v>700</v>
      </c>
      <c r="J44">
        <f t="shared" si="0"/>
        <v>12</v>
      </c>
      <c r="K44">
        <v>454.37</v>
      </c>
      <c r="L44" s="3">
        <f t="shared" si="1"/>
        <v>120</v>
      </c>
      <c r="N44" s="5">
        <f t="shared" si="2"/>
        <v>715.22701796760737</v>
      </c>
      <c r="O44" s="4">
        <f t="shared" si="3"/>
        <v>-3.2270179676073667</v>
      </c>
    </row>
    <row r="45" spans="3:15" ht="15.6" x14ac:dyDescent="0.3">
      <c r="C45" s="1"/>
      <c r="E45" s="14"/>
      <c r="F45" s="1">
        <v>22</v>
      </c>
      <c r="G45" s="12">
        <v>464.37</v>
      </c>
      <c r="H45">
        <v>710</v>
      </c>
      <c r="I45">
        <v>700</v>
      </c>
      <c r="J45">
        <f t="shared" si="0"/>
        <v>10</v>
      </c>
      <c r="K45">
        <v>464.37</v>
      </c>
      <c r="L45" s="3">
        <f t="shared" si="1"/>
        <v>100</v>
      </c>
      <c r="N45" s="5">
        <f t="shared" si="2"/>
        <v>714.89946592780746</v>
      </c>
      <c r="O45" s="4">
        <f t="shared" si="3"/>
        <v>-4.899465927807455</v>
      </c>
    </row>
    <row r="46" spans="3:15" ht="15.6" x14ac:dyDescent="0.3">
      <c r="C46" s="1"/>
      <c r="E46" s="14"/>
      <c r="F46" s="1">
        <v>23</v>
      </c>
      <c r="G46" s="12">
        <v>478.64</v>
      </c>
      <c r="H46">
        <v>708.78</v>
      </c>
      <c r="I46">
        <v>700</v>
      </c>
      <c r="J46">
        <f t="shared" si="0"/>
        <v>8.7799999999999727</v>
      </c>
      <c r="K46">
        <v>478.64</v>
      </c>
      <c r="L46" s="3">
        <f t="shared" si="1"/>
        <v>87.799999999999727</v>
      </c>
      <c r="N46" s="5">
        <f t="shared" si="2"/>
        <v>714.43204916701279</v>
      </c>
      <c r="O46" s="4">
        <f t="shared" si="3"/>
        <v>-5.6520491670128195</v>
      </c>
    </row>
    <row r="47" spans="3:15" ht="15.6" x14ac:dyDescent="0.3">
      <c r="C47" s="1"/>
      <c r="E47" s="14"/>
      <c r="F47" s="1" t="s">
        <v>34</v>
      </c>
      <c r="G47" s="12">
        <v>487.79</v>
      </c>
      <c r="H47">
        <v>708.53</v>
      </c>
      <c r="I47">
        <v>700</v>
      </c>
      <c r="J47">
        <f t="shared" si="0"/>
        <v>8.5299999999999727</v>
      </c>
      <c r="L47" s="3">
        <f t="shared" si="1"/>
        <v>85.299999999999727</v>
      </c>
      <c r="N47" s="5">
        <f t="shared" si="2"/>
        <v>714.13233905059576</v>
      </c>
      <c r="O47" s="4">
        <f t="shared" si="3"/>
        <v>-5.6023390505957877</v>
      </c>
    </row>
    <row r="48" spans="3:15" ht="15.6" x14ac:dyDescent="0.3">
      <c r="C48" s="1"/>
      <c r="E48" s="14"/>
      <c r="F48" s="1" t="s">
        <v>19</v>
      </c>
      <c r="G48" s="12">
        <v>492.91</v>
      </c>
      <c r="H48">
        <v>708.62</v>
      </c>
      <c r="I48">
        <v>700</v>
      </c>
      <c r="J48">
        <f t="shared" si="0"/>
        <v>8.6200000000000045</v>
      </c>
      <c r="K48">
        <v>492.91</v>
      </c>
      <c r="L48" s="3">
        <f t="shared" si="1"/>
        <v>86.200000000000045</v>
      </c>
      <c r="N48" s="5">
        <f t="shared" si="2"/>
        <v>713.96463240621824</v>
      </c>
      <c r="O48" s="4">
        <f t="shared" si="3"/>
        <v>-5.3446324062182384</v>
      </c>
    </row>
    <row r="49" spans="3:15" ht="15.6" x14ac:dyDescent="0.3">
      <c r="C49" s="1"/>
      <c r="E49" s="14"/>
      <c r="F49" s="1" t="s">
        <v>20</v>
      </c>
      <c r="G49" s="12">
        <v>500</v>
      </c>
      <c r="H49">
        <v>708.89</v>
      </c>
      <c r="I49">
        <v>700</v>
      </c>
      <c r="J49">
        <f t="shared" si="0"/>
        <v>8.8899999999999864</v>
      </c>
      <c r="K49">
        <v>500</v>
      </c>
      <c r="L49" s="3">
        <f t="shared" si="1"/>
        <v>88.899999999999864</v>
      </c>
      <c r="N49" s="5">
        <f t="shared" si="2"/>
        <v>713.73239801</v>
      </c>
      <c r="O49" s="4">
        <f t="shared" si="3"/>
        <v>-4.8423980100000108</v>
      </c>
    </row>
    <row r="50" spans="3:15" ht="15.6" x14ac:dyDescent="0.3">
      <c r="C50" s="1"/>
      <c r="E50" s="14"/>
      <c r="F50" s="1">
        <v>24</v>
      </c>
      <c r="G50" s="12">
        <v>510.62</v>
      </c>
      <c r="H50">
        <v>710</v>
      </c>
      <c r="I50">
        <v>700</v>
      </c>
      <c r="J50">
        <f t="shared" si="0"/>
        <v>10</v>
      </c>
      <c r="K50">
        <v>510.62</v>
      </c>
      <c r="L50" s="3">
        <f t="shared" si="1"/>
        <v>100</v>
      </c>
      <c r="N50" s="5">
        <f t="shared" si="2"/>
        <v>713.38453774373238</v>
      </c>
      <c r="O50" s="4">
        <f t="shared" si="3"/>
        <v>-3.3845377437323805</v>
      </c>
    </row>
    <row r="51" spans="3:15" ht="15.6" x14ac:dyDescent="0.3">
      <c r="C51" s="1"/>
      <c r="E51" s="14"/>
      <c r="F51" s="1">
        <v>25</v>
      </c>
      <c r="G51" s="12">
        <v>525.63</v>
      </c>
      <c r="H51">
        <v>711.18</v>
      </c>
      <c r="I51">
        <v>700</v>
      </c>
      <c r="J51">
        <f t="shared" si="0"/>
        <v>11.17999999999995</v>
      </c>
      <c r="K51">
        <v>525.63</v>
      </c>
      <c r="L51" s="3">
        <f t="shared" si="1"/>
        <v>111.7999999999995</v>
      </c>
      <c r="N51" s="5">
        <f t="shared" si="2"/>
        <v>712.89288213199256</v>
      </c>
      <c r="O51" s="4">
        <f t="shared" si="3"/>
        <v>-1.7128821319926146</v>
      </c>
    </row>
    <row r="52" spans="3:15" ht="15.6" x14ac:dyDescent="0.3">
      <c r="C52" s="1"/>
      <c r="E52" s="14"/>
      <c r="F52" s="1">
        <v>26</v>
      </c>
      <c r="G52" s="12">
        <v>546.09</v>
      </c>
      <c r="H52">
        <v>710.7</v>
      </c>
      <c r="I52">
        <v>700</v>
      </c>
      <c r="J52">
        <f t="shared" si="0"/>
        <v>10.700000000000045</v>
      </c>
      <c r="K52">
        <v>546.09</v>
      </c>
      <c r="L52" s="3">
        <f t="shared" si="1"/>
        <v>107.00000000000045</v>
      </c>
      <c r="N52" s="5">
        <f t="shared" si="2"/>
        <v>712.22271065856182</v>
      </c>
      <c r="O52" s="4">
        <f t="shared" si="3"/>
        <v>-1.5227106585617776</v>
      </c>
    </row>
    <row r="53" spans="3:15" ht="15.6" x14ac:dyDescent="0.3">
      <c r="C53" s="1"/>
      <c r="E53" s="14"/>
      <c r="F53" s="1" t="s">
        <v>35</v>
      </c>
      <c r="G53" s="12">
        <v>553.39</v>
      </c>
      <c r="H53">
        <v>710.41</v>
      </c>
      <c r="I53">
        <v>700</v>
      </c>
      <c r="J53">
        <f t="shared" si="0"/>
        <v>10.409999999999968</v>
      </c>
      <c r="L53" s="3">
        <f t="shared" si="1"/>
        <v>104.09999999999968</v>
      </c>
      <c r="N53" s="5">
        <f t="shared" si="2"/>
        <v>711.98359766950784</v>
      </c>
      <c r="O53" s="4">
        <f t="shared" si="3"/>
        <v>-1.5735976695078762</v>
      </c>
    </row>
    <row r="54" spans="3:15" ht="15.6" x14ac:dyDescent="0.3">
      <c r="C54" s="1"/>
      <c r="E54" s="14"/>
      <c r="F54" s="1">
        <v>27</v>
      </c>
      <c r="G54" s="12">
        <v>565.6</v>
      </c>
      <c r="H54">
        <v>710</v>
      </c>
      <c r="I54">
        <v>700</v>
      </c>
      <c r="J54">
        <f t="shared" si="0"/>
        <v>10</v>
      </c>
      <c r="K54">
        <v>565.6</v>
      </c>
      <c r="L54" s="3">
        <f t="shared" si="1"/>
        <v>100</v>
      </c>
      <c r="N54" s="5">
        <f t="shared" si="2"/>
        <v>711.58365662891197</v>
      </c>
      <c r="O54" s="4">
        <f t="shared" si="3"/>
        <v>-1.5836566289119673</v>
      </c>
    </row>
    <row r="55" spans="3:15" ht="15.6" x14ac:dyDescent="0.3">
      <c r="C55" s="1"/>
      <c r="E55" s="14"/>
      <c r="F55" s="1">
        <v>28</v>
      </c>
      <c r="G55" s="12">
        <v>583.82000000000005</v>
      </c>
      <c r="H55">
        <v>709.25</v>
      </c>
      <c r="I55">
        <v>700</v>
      </c>
      <c r="J55">
        <f t="shared" si="0"/>
        <v>9.25</v>
      </c>
      <c r="K55">
        <v>583.82000000000005</v>
      </c>
      <c r="L55" s="3">
        <f t="shared" si="1"/>
        <v>92.5</v>
      </c>
      <c r="N55" s="5">
        <f t="shared" si="2"/>
        <v>710.98685681239635</v>
      </c>
      <c r="O55" s="4">
        <f t="shared" si="3"/>
        <v>-1.7368568123963541</v>
      </c>
    </row>
    <row r="56" spans="3:15" ht="15.6" x14ac:dyDescent="0.3">
      <c r="C56" s="1"/>
      <c r="E56" s="14"/>
      <c r="F56" s="1" t="s">
        <v>21</v>
      </c>
      <c r="G56" s="12">
        <v>600</v>
      </c>
      <c r="H56">
        <v>709.47</v>
      </c>
      <c r="I56">
        <v>700</v>
      </c>
      <c r="J56">
        <f t="shared" si="0"/>
        <v>9.4700000000000273</v>
      </c>
      <c r="K56">
        <v>600</v>
      </c>
      <c r="L56" s="3">
        <f t="shared" si="1"/>
        <v>94.700000000000273</v>
      </c>
      <c r="N56" s="5">
        <f t="shared" si="2"/>
        <v>710.45687761199997</v>
      </c>
      <c r="O56" s="4">
        <f t="shared" si="3"/>
        <v>-0.98687761199994384</v>
      </c>
    </row>
    <row r="57" spans="3:15" ht="15.6" x14ac:dyDescent="0.3">
      <c r="C57" s="1"/>
      <c r="E57" s="14"/>
      <c r="F57" s="1" t="s">
        <v>22</v>
      </c>
      <c r="G57" s="12">
        <v>610.59</v>
      </c>
      <c r="H57">
        <v>710</v>
      </c>
      <c r="I57">
        <v>700</v>
      </c>
      <c r="J57">
        <f t="shared" si="0"/>
        <v>10</v>
      </c>
      <c r="K57">
        <v>610.59</v>
      </c>
      <c r="L57" s="3">
        <f t="shared" si="1"/>
        <v>100</v>
      </c>
      <c r="N57" s="5">
        <f t="shared" si="2"/>
        <v>710.11000000185186</v>
      </c>
      <c r="O57" s="4">
        <f t="shared" si="3"/>
        <v>-0.11000000185185854</v>
      </c>
    </row>
    <row r="58" spans="3:15" x14ac:dyDescent="0.3">
      <c r="G58" s="12"/>
    </row>
    <row r="65" spans="7:13" ht="15.6" x14ac:dyDescent="0.3">
      <c r="H65">
        <v>2.5000000000000001E-4</v>
      </c>
      <c r="I65" s="10">
        <v>3.2800000000000003E-2</v>
      </c>
      <c r="J65" s="10">
        <v>-4.8099999999999997E-2</v>
      </c>
      <c r="L65" s="10">
        <v>714.03</v>
      </c>
    </row>
    <row r="67" spans="7:13" ht="15" thickBot="1" x14ac:dyDescent="0.35"/>
    <row r="68" spans="7:13" ht="19.2" thickTop="1" thickBot="1" x14ac:dyDescent="0.35">
      <c r="G68" s="6" t="s">
        <v>36</v>
      </c>
      <c r="H68" s="7" t="s">
        <v>37</v>
      </c>
      <c r="I68" s="7" t="s">
        <v>38</v>
      </c>
      <c r="J68" s="7" t="s">
        <v>39</v>
      </c>
      <c r="K68" s="7" t="s">
        <v>44</v>
      </c>
      <c r="L68" s="7" t="s">
        <v>40</v>
      </c>
      <c r="M68" s="8" t="s">
        <v>45</v>
      </c>
    </row>
    <row r="69" spans="7:13" ht="19.2" thickTop="1" thickBot="1" x14ac:dyDescent="0.35">
      <c r="G69" s="9" t="s">
        <v>41</v>
      </c>
      <c r="H69" s="12">
        <v>487.79</v>
      </c>
      <c r="I69" s="15">
        <v>0</v>
      </c>
      <c r="J69" s="16">
        <f>$I$65*I69</f>
        <v>0</v>
      </c>
      <c r="K69" s="16">
        <f>$L$65-J69</f>
        <v>714.03</v>
      </c>
      <c r="L69" s="16">
        <f>$H$65*I69^2</f>
        <v>0</v>
      </c>
      <c r="M69" s="17">
        <f>$L$65-J69+L69</f>
        <v>714.03</v>
      </c>
    </row>
    <row r="70" spans="7:13" ht="16.8" thickTop="1" thickBot="1" x14ac:dyDescent="0.35">
      <c r="G70" s="9">
        <v>14</v>
      </c>
      <c r="H70" s="12">
        <v>492.91</v>
      </c>
      <c r="I70" s="15">
        <f>H70-$H$69</f>
        <v>5.1200000000000045</v>
      </c>
      <c r="J70" s="16">
        <f t="shared" ref="J70:J79" si="4">$I$65*I70</f>
        <v>0.16793600000000017</v>
      </c>
      <c r="K70" s="16">
        <f t="shared" ref="K70:K79" si="5">$L$65-J70</f>
        <v>713.86206399999992</v>
      </c>
      <c r="L70" s="16">
        <f t="shared" ref="L70:L79" si="6">$H$65*I70^2</f>
        <v>6.5536000000000118E-3</v>
      </c>
      <c r="M70" s="17">
        <f t="shared" ref="M70:M79" si="7">$L$65-J70+L70</f>
        <v>713.86861759999988</v>
      </c>
    </row>
    <row r="71" spans="7:13" ht="16.8" thickTop="1" thickBot="1" x14ac:dyDescent="0.35">
      <c r="G71" s="9">
        <v>15</v>
      </c>
      <c r="H71" s="12">
        <v>500</v>
      </c>
      <c r="I71" s="15">
        <f t="shared" ref="I71:I79" si="8">H71-$H$69</f>
        <v>12.20999999999998</v>
      </c>
      <c r="J71" s="16">
        <f t="shared" si="4"/>
        <v>0.40048799999999934</v>
      </c>
      <c r="K71" s="16">
        <f t="shared" si="5"/>
        <v>713.62951199999998</v>
      </c>
      <c r="L71" s="16">
        <f t="shared" si="6"/>
        <v>3.7271024999999874E-2</v>
      </c>
      <c r="M71" s="17">
        <f t="shared" si="7"/>
        <v>713.66678302499997</v>
      </c>
    </row>
    <row r="72" spans="7:13" ht="16.8" thickTop="1" thickBot="1" x14ac:dyDescent="0.35">
      <c r="G72" s="11" t="s">
        <v>17</v>
      </c>
      <c r="H72" s="12">
        <v>510.62</v>
      </c>
      <c r="I72" s="15">
        <f t="shared" si="8"/>
        <v>22.829999999999984</v>
      </c>
      <c r="J72" s="16">
        <f t="shared" si="4"/>
        <v>0.74882399999999949</v>
      </c>
      <c r="K72" s="16">
        <f t="shared" si="5"/>
        <v>713.28117599999996</v>
      </c>
      <c r="L72" s="16">
        <f t="shared" si="6"/>
        <v>0.13030222499999983</v>
      </c>
      <c r="M72" s="17">
        <f t="shared" si="7"/>
        <v>713.411478225</v>
      </c>
    </row>
    <row r="73" spans="7:13" ht="16.8" thickTop="1" thickBot="1" x14ac:dyDescent="0.35">
      <c r="G73" s="9">
        <v>16</v>
      </c>
      <c r="H73" s="12">
        <v>525.63</v>
      </c>
      <c r="I73" s="15">
        <f t="shared" si="8"/>
        <v>37.839999999999975</v>
      </c>
      <c r="J73" s="16">
        <f t="shared" si="4"/>
        <v>1.2411519999999994</v>
      </c>
      <c r="K73" s="16">
        <f t="shared" si="5"/>
        <v>712.78884800000003</v>
      </c>
      <c r="L73" s="16">
        <f t="shared" si="6"/>
        <v>0.35796639999999952</v>
      </c>
      <c r="M73" s="17">
        <f t="shared" si="7"/>
        <v>713.14681440000004</v>
      </c>
    </row>
    <row r="74" spans="7:13" ht="16.8" thickTop="1" thickBot="1" x14ac:dyDescent="0.35">
      <c r="G74" s="9" t="s">
        <v>18</v>
      </c>
      <c r="H74" s="12">
        <v>546.09</v>
      </c>
      <c r="I74" s="15">
        <f t="shared" si="8"/>
        <v>58.300000000000011</v>
      </c>
      <c r="J74" s="16">
        <f t="shared" si="4"/>
        <v>1.9122400000000006</v>
      </c>
      <c r="K74" s="16">
        <f t="shared" si="5"/>
        <v>712.11775999999998</v>
      </c>
      <c r="L74" s="16">
        <f t="shared" si="6"/>
        <v>0.84972250000000038</v>
      </c>
      <c r="M74" s="17">
        <f t="shared" si="7"/>
        <v>712.96748249999996</v>
      </c>
    </row>
    <row r="75" spans="7:13" ht="16.8" thickTop="1" thickBot="1" x14ac:dyDescent="0.35">
      <c r="G75" s="9">
        <v>17</v>
      </c>
      <c r="H75" s="12">
        <v>553.39</v>
      </c>
      <c r="I75" s="15">
        <f t="shared" si="8"/>
        <v>65.599999999999966</v>
      </c>
      <c r="J75" s="16">
        <f t="shared" si="4"/>
        <v>2.1516799999999989</v>
      </c>
      <c r="K75" s="16">
        <f t="shared" si="5"/>
        <v>711.87832000000003</v>
      </c>
      <c r="L75" s="16">
        <f t="shared" si="6"/>
        <v>1.0758399999999988</v>
      </c>
      <c r="M75" s="17">
        <f t="shared" si="7"/>
        <v>712.95416</v>
      </c>
    </row>
    <row r="76" spans="7:13" ht="16.8" thickTop="1" thickBot="1" x14ac:dyDescent="0.35">
      <c r="G76" s="9">
        <v>18</v>
      </c>
      <c r="H76" s="12">
        <v>565.6</v>
      </c>
      <c r="I76" s="15">
        <f t="shared" si="8"/>
        <v>77.81</v>
      </c>
      <c r="J76" s="16">
        <f t="shared" si="4"/>
        <v>2.5521680000000004</v>
      </c>
      <c r="K76" s="16">
        <f t="shared" si="5"/>
        <v>711.47783199999992</v>
      </c>
      <c r="L76" s="16">
        <f t="shared" si="6"/>
        <v>1.513599025</v>
      </c>
      <c r="M76" s="17">
        <f t="shared" si="7"/>
        <v>712.99143102499988</v>
      </c>
    </row>
    <row r="77" spans="7:13" ht="16.8" thickTop="1" thickBot="1" x14ac:dyDescent="0.35">
      <c r="G77" s="9">
        <v>19</v>
      </c>
      <c r="H77" s="12">
        <v>583.82000000000005</v>
      </c>
      <c r="I77" s="15">
        <f t="shared" si="8"/>
        <v>96.03000000000003</v>
      </c>
      <c r="J77" s="16">
        <f t="shared" si="4"/>
        <v>3.1497840000000012</v>
      </c>
      <c r="K77" s="16">
        <f t="shared" si="5"/>
        <v>710.88021600000002</v>
      </c>
      <c r="L77" s="16">
        <f t="shared" si="6"/>
        <v>2.3054402250000012</v>
      </c>
      <c r="M77" s="17">
        <f t="shared" si="7"/>
        <v>713.185656225</v>
      </c>
    </row>
    <row r="78" spans="7:13" ht="16.8" thickTop="1" thickBot="1" x14ac:dyDescent="0.35">
      <c r="G78" s="9" t="s">
        <v>35</v>
      </c>
      <c r="H78" s="12">
        <v>600</v>
      </c>
      <c r="I78" s="15">
        <f t="shared" si="8"/>
        <v>112.20999999999998</v>
      </c>
      <c r="J78" s="16">
        <f t="shared" si="4"/>
        <v>3.6804879999999995</v>
      </c>
      <c r="K78" s="16">
        <f t="shared" si="5"/>
        <v>710.349512</v>
      </c>
      <c r="L78" s="16">
        <f t="shared" si="6"/>
        <v>3.1477710249999986</v>
      </c>
      <c r="M78" s="17">
        <f t="shared" si="7"/>
        <v>713.497283025</v>
      </c>
    </row>
    <row r="79" spans="7:13" ht="19.2" thickTop="1" thickBot="1" x14ac:dyDescent="0.35">
      <c r="G79" s="9" t="s">
        <v>42</v>
      </c>
      <c r="H79" s="12">
        <v>610.59</v>
      </c>
      <c r="I79" s="15">
        <f t="shared" si="8"/>
        <v>122.80000000000001</v>
      </c>
      <c r="J79" s="16">
        <f t="shared" si="4"/>
        <v>4.0278400000000003</v>
      </c>
      <c r="K79" s="16">
        <f t="shared" si="5"/>
        <v>710.00216</v>
      </c>
      <c r="L79" s="16">
        <f t="shared" si="6"/>
        <v>3.7699600000000006</v>
      </c>
      <c r="M79" s="17">
        <f t="shared" si="7"/>
        <v>713.77211999999997</v>
      </c>
    </row>
    <row r="80" spans="7:13" ht="15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Sheet1!_Hlk91043174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 GAMING</dc:creator>
  <cp:lastModifiedBy>ideapad GAMING</cp:lastModifiedBy>
  <dcterms:created xsi:type="dcterms:W3CDTF">2021-11-28T16:12:07Z</dcterms:created>
  <dcterms:modified xsi:type="dcterms:W3CDTF">2021-12-27T15:22:43Z</dcterms:modified>
</cp:coreProperties>
</file>